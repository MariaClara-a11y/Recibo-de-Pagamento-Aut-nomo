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User\Desktop\Curso Excel\"/>
    </mc:Choice>
  </mc:AlternateContent>
  <xr:revisionPtr revIDLastSave="0" documentId="13_ncr:1_{54D63AA3-68F7-413B-AA0C-B4988738B34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RPA - 2026" sheetId="1" r:id="rId1"/>
    <sheet name="RPA - Abril 2026" sheetId="3" r:id="rId2"/>
    <sheet name="RPA - Março 2026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E7" i="1"/>
  <c r="F7" i="1"/>
  <c r="C7" i="1"/>
  <c r="C9" i="1" s="1"/>
  <c r="E10" i="3"/>
  <c r="G9" i="3"/>
  <c r="F9" i="3"/>
  <c r="H9" i="3" s="1"/>
  <c r="G8" i="3"/>
  <c r="F8" i="3"/>
  <c r="H8" i="3" s="1"/>
  <c r="G7" i="3"/>
  <c r="F7" i="3"/>
  <c r="H7" i="3" s="1"/>
  <c r="G6" i="3"/>
  <c r="F6" i="3"/>
  <c r="H6" i="3" s="1"/>
  <c r="H5" i="3"/>
  <c r="G5" i="3"/>
  <c r="F5" i="3"/>
  <c r="E9" i="1"/>
  <c r="F6" i="1"/>
  <c r="E6" i="1"/>
  <c r="D6" i="1"/>
  <c r="C6" i="1"/>
  <c r="H10" i="2"/>
  <c r="G10" i="2"/>
  <c r="F10" i="2"/>
  <c r="E10" i="2"/>
  <c r="H6" i="2"/>
  <c r="H7" i="2"/>
  <c r="H8" i="2"/>
  <c r="H9" i="2"/>
  <c r="G6" i="2"/>
  <c r="G7" i="2"/>
  <c r="G8" i="2"/>
  <c r="G9" i="2"/>
  <c r="F6" i="2"/>
  <c r="F7" i="2"/>
  <c r="F8" i="2"/>
  <c r="F9" i="2"/>
  <c r="H5" i="2"/>
  <c r="G5" i="2"/>
  <c r="F5" i="2"/>
  <c r="F9" i="1" l="1"/>
  <c r="D9" i="1"/>
  <c r="G10" i="3"/>
  <c r="F10" i="3"/>
  <c r="H10" i="3"/>
</calcChain>
</file>

<file path=xl/sharedStrings.xml><?xml version="1.0" encoding="utf-8"?>
<sst xmlns="http://schemas.openxmlformats.org/spreadsheetml/2006/main" count="48" uniqueCount="29">
  <si>
    <t>DATA</t>
  </si>
  <si>
    <t>NOME</t>
  </si>
  <si>
    <t>CPF</t>
  </si>
  <si>
    <t>VALOR DO SERVIÇO</t>
  </si>
  <si>
    <t>INSS DESCONTADO</t>
  </si>
  <si>
    <t>MÊS</t>
  </si>
  <si>
    <t>MARÇO</t>
  </si>
  <si>
    <t>ANO</t>
  </si>
  <si>
    <t>INSS DA EMPRESA</t>
  </si>
  <si>
    <t>VALOR LÍQUIDO A PAGAR</t>
  </si>
  <si>
    <t>Lucas Almeida</t>
  </si>
  <si>
    <t>Fernanda Carvalho</t>
  </si>
  <si>
    <t>Rafael Moreira</t>
  </si>
  <si>
    <t>TOTAL DO PERÍODO</t>
  </si>
  <si>
    <t>RELATÓRIO DE PAGAMENTO RPA</t>
  </si>
  <si>
    <t>Tabela de Alíquotas do INSS</t>
  </si>
  <si>
    <t>Descontado do Autônomo</t>
  </si>
  <si>
    <t>Contribuição da empresa</t>
  </si>
  <si>
    <t>RESUMO ANUAL DO PAGAMENTO DE RPA</t>
  </si>
  <si>
    <t>VALOR DOS SERVIÇOS</t>
  </si>
  <si>
    <t>VALOR LÍQUIDO PAGO</t>
  </si>
  <si>
    <t>...</t>
  </si>
  <si>
    <t>Março</t>
  </si>
  <si>
    <t>TOTAL</t>
  </si>
  <si>
    <t>João Ferraz</t>
  </si>
  <si>
    <t>Mariana Lessa</t>
  </si>
  <si>
    <t>Heitor Dias</t>
  </si>
  <si>
    <t>Abril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</si>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</sst>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&quot;.&quot;000&quot;.&quot;000&quot;-&quot;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9" tint="-0.249977111117893"/>
      <name val="Arial Black"/>
      <family val="2"/>
    </font>
    <font>
      <sz val="10"/>
      <color theme="1"/>
      <name val="Arial"/>
      <family val="2"/>
    </font>
    <font>
      <sz val="10"/>
      <color theme="1"/>
      <name val="Ariall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theme="1"/>
      <name val="Arial"/>
      <family val="2"/>
    </font>
    <font>
      <sz val="11"/>
      <color theme="9" tint="-0.249977111117893"/>
      <name val="Arial Black"/>
      <family val="2"/>
    </font>
    <font>
      <sz val="10"/>
      <color rgb="FFFF0000"/>
      <name val="Arial"/>
      <family val="2"/>
    </font>
    <font>
      <b/>
      <sz val="10"/>
      <color theme="1"/>
      <name val="Arial 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Border="1"/>
    <xf numFmtId="2" fontId="4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2" fontId="8" fillId="0" borderId="1" xfId="0" applyNumberFormat="1" applyFont="1" applyBorder="1"/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2" fontId="4" fillId="0" borderId="1" xfId="0" quotePrefix="1" applyNumberFormat="1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showGridLines="0" workbookViewId="0">
      <selection activeCell="J15" sqref="J15"/>
    </sheetView>
  </sheetViews>
  <sheetFormatPr defaultRowHeight="15"/>
  <cols>
    <col min="3" max="3" width="23.85546875" customWidth="1"/>
    <col min="4" max="4" width="28.28515625" customWidth="1"/>
    <col min="5" max="5" width="18.85546875" customWidth="1"/>
    <col min="6" max="6" width="24.28515625" customWidth="1"/>
  </cols>
  <sheetData>
    <row r="2" spans="2:6">
      <c r="B2" s="14" t="s">
        <v>18</v>
      </c>
      <c r="C2" s="23"/>
      <c r="D2" s="23"/>
      <c r="E2" s="23"/>
      <c r="F2" s="27" t="s">
        <v>7</v>
      </c>
    </row>
    <row r="3" spans="2:6">
      <c r="B3" s="23"/>
      <c r="C3" s="23"/>
      <c r="D3" s="23"/>
      <c r="E3" s="23"/>
      <c r="F3" s="28">
        <v>2026</v>
      </c>
    </row>
    <row r="4" spans="2:6" ht="24.75" customHeight="1">
      <c r="B4" s="24" t="s">
        <v>5</v>
      </c>
      <c r="C4" s="24" t="s">
        <v>19</v>
      </c>
      <c r="D4" s="24" t="s">
        <v>4</v>
      </c>
      <c r="E4" s="24" t="s">
        <v>8</v>
      </c>
      <c r="F4" s="24" t="s">
        <v>20</v>
      </c>
    </row>
    <row r="5" spans="2:6">
      <c r="B5" s="25" t="s">
        <v>21</v>
      </c>
      <c r="C5" s="2"/>
      <c r="D5" s="2"/>
      <c r="E5" s="2"/>
      <c r="F5" s="2"/>
    </row>
    <row r="6" spans="2:6">
      <c r="B6" s="25" t="s">
        <v>22</v>
      </c>
      <c r="C6" s="2">
        <f>'RPA - Março 2026'!E10</f>
        <v>2500</v>
      </c>
      <c r="D6" s="29">
        <f>'RPA - Março 2026'!F10</f>
        <v>275</v>
      </c>
      <c r="E6" s="2">
        <f>'RPA - Março 2026'!G10</f>
        <v>500</v>
      </c>
      <c r="F6" s="2">
        <f>'RPA - Março 2026'!H10</f>
        <v>2225</v>
      </c>
    </row>
    <row r="7" spans="2:6">
      <c r="B7" s="25" t="s">
        <v>27</v>
      </c>
      <c r="C7" s="2">
        <f>'RPA - Abril 2026'!E10</f>
        <v>2395</v>
      </c>
      <c r="D7" s="2">
        <f>'RPA - Abril 2026'!F10</f>
        <v>263.45</v>
      </c>
      <c r="E7" s="2">
        <f>'RPA - Abril 2026'!G10</f>
        <v>479</v>
      </c>
      <c r="F7" s="2">
        <f>'RPA - Abril 2026'!H10</f>
        <v>2131.5500000000002</v>
      </c>
    </row>
    <row r="8" spans="2:6">
      <c r="B8" s="25" t="s">
        <v>21</v>
      </c>
      <c r="C8" s="2"/>
      <c r="D8" s="2"/>
      <c r="E8" s="2"/>
      <c r="F8" s="2"/>
    </row>
    <row r="9" spans="2:6">
      <c r="B9" s="25" t="s">
        <v>23</v>
      </c>
      <c r="C9" s="26">
        <f>SUM(C5:C8)</f>
        <v>4895</v>
      </c>
      <c r="D9" s="26">
        <f t="shared" ref="D9:F9" si="0">SUM(D5:D8)</f>
        <v>538.45000000000005</v>
      </c>
      <c r="E9" s="26">
        <f t="shared" si="0"/>
        <v>979</v>
      </c>
      <c r="F9" s="26">
        <f t="shared" si="0"/>
        <v>4356.55</v>
      </c>
    </row>
    <row r="18" spans="7:7">
      <c r="G18" s="1"/>
    </row>
  </sheetData>
  <mergeCells count="1">
    <mergeCell ref="B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CEB5-AC52-4CA6-B5BD-38D4CDB5E83B}">
  <dimension ref="B2:H14"/>
  <sheetViews>
    <sheetView showGridLines="0" workbookViewId="0">
      <selection activeCell="H20" sqref="H20"/>
    </sheetView>
  </sheetViews>
  <sheetFormatPr defaultRowHeight="15"/>
  <cols>
    <col min="2" max="2" width="14.28515625" customWidth="1"/>
    <col min="3" max="3" width="36.5703125" customWidth="1"/>
    <col min="4" max="4" width="21.140625" customWidth="1"/>
    <col min="5" max="5" width="23.28515625" customWidth="1"/>
    <col min="6" max="6" width="23.7109375" customWidth="1"/>
    <col min="7" max="7" width="18.28515625" customWidth="1"/>
    <col min="8" max="8" width="25.85546875" customWidth="1"/>
  </cols>
  <sheetData>
    <row r="2" spans="2:8">
      <c r="B2" s="14" t="s">
        <v>14</v>
      </c>
      <c r="C2" s="15"/>
      <c r="D2" s="15"/>
      <c r="E2" s="15"/>
      <c r="F2" s="16"/>
      <c r="G2" s="17" t="s">
        <v>5</v>
      </c>
      <c r="H2" s="18" t="s">
        <v>7</v>
      </c>
    </row>
    <row r="3" spans="2:8" ht="15.75">
      <c r="B3" s="15"/>
      <c r="C3" s="15"/>
      <c r="D3" s="15"/>
      <c r="E3" s="15"/>
      <c r="F3" s="16"/>
      <c r="G3" s="19" t="s">
        <v>28</v>
      </c>
      <c r="H3" s="20">
        <v>2026</v>
      </c>
    </row>
    <row r="4" spans="2:8" ht="24.75" customHeight="1">
      <c r="B4" s="21" t="s">
        <v>0</v>
      </c>
      <c r="C4" s="21" t="s">
        <v>1</v>
      </c>
      <c r="D4" s="21" t="s">
        <v>2</v>
      </c>
      <c r="E4" s="21" t="s">
        <v>3</v>
      </c>
      <c r="F4" s="21" t="s">
        <v>4</v>
      </c>
      <c r="G4" s="22" t="s">
        <v>8</v>
      </c>
      <c r="H4" s="22" t="s">
        <v>9</v>
      </c>
    </row>
    <row r="5" spans="2:8">
      <c r="B5" s="6">
        <v>46117</v>
      </c>
      <c r="C5" s="7" t="s">
        <v>24</v>
      </c>
      <c r="D5" s="8">
        <v>9876543212</v>
      </c>
      <c r="E5" s="9">
        <v>800</v>
      </c>
      <c r="F5" s="10">
        <f>$D$13*E5</f>
        <v>88</v>
      </c>
      <c r="G5" s="10">
        <f>$D$14*E5</f>
        <v>160</v>
      </c>
      <c r="H5" s="10">
        <f>E5-F5</f>
        <v>712</v>
      </c>
    </row>
    <row r="6" spans="2:8">
      <c r="B6" s="6">
        <v>46123</v>
      </c>
      <c r="C6" s="7" t="s">
        <v>25</v>
      </c>
      <c r="D6" s="8">
        <v>13579134689</v>
      </c>
      <c r="E6" s="9">
        <v>250</v>
      </c>
      <c r="F6" s="10">
        <f t="shared" ref="F6:F9" si="0">$D$13*E6</f>
        <v>27.5</v>
      </c>
      <c r="G6" s="10">
        <f t="shared" ref="G6:G9" si="1">$D$14*E6</f>
        <v>50</v>
      </c>
      <c r="H6" s="10">
        <f t="shared" ref="H6:H9" si="2">E6-F6</f>
        <v>222.5</v>
      </c>
    </row>
    <row r="7" spans="2:8">
      <c r="B7" s="6">
        <v>46129</v>
      </c>
      <c r="C7" s="11" t="s">
        <v>26</v>
      </c>
      <c r="D7" s="8">
        <v>34215675623</v>
      </c>
      <c r="E7" s="9">
        <v>1345</v>
      </c>
      <c r="F7" s="10">
        <f t="shared" si="0"/>
        <v>147.94999999999999</v>
      </c>
      <c r="G7" s="10">
        <f t="shared" si="1"/>
        <v>269</v>
      </c>
      <c r="H7" s="10">
        <f t="shared" si="2"/>
        <v>1197.05</v>
      </c>
    </row>
    <row r="8" spans="2:8">
      <c r="B8" s="12"/>
      <c r="C8" s="12"/>
      <c r="D8" s="12"/>
      <c r="E8" s="9"/>
      <c r="F8" s="10">
        <f t="shared" si="0"/>
        <v>0</v>
      </c>
      <c r="G8" s="10">
        <f t="shared" si="1"/>
        <v>0</v>
      </c>
      <c r="H8" s="10">
        <f t="shared" si="2"/>
        <v>0</v>
      </c>
    </row>
    <row r="9" spans="2:8">
      <c r="B9" s="12"/>
      <c r="C9" s="12"/>
      <c r="D9" s="12"/>
      <c r="E9" s="9"/>
      <c r="F9" s="10">
        <f t="shared" si="0"/>
        <v>0</v>
      </c>
      <c r="G9" s="10">
        <f t="shared" si="1"/>
        <v>0</v>
      </c>
      <c r="H9" s="10">
        <f t="shared" si="2"/>
        <v>0</v>
      </c>
    </row>
    <row r="10" spans="2:8">
      <c r="B10" s="13" t="s">
        <v>13</v>
      </c>
      <c r="C10" s="13"/>
      <c r="D10" s="13"/>
      <c r="E10" s="10">
        <f>SUM(E5:E9)</f>
        <v>2395</v>
      </c>
      <c r="F10" s="10">
        <f>SUM(F5:F9)</f>
        <v>263.45</v>
      </c>
      <c r="G10" s="10">
        <f>SUM(G5:G9)</f>
        <v>479</v>
      </c>
      <c r="H10" s="10">
        <f>SUM(H5:H9)</f>
        <v>2131.5500000000002</v>
      </c>
    </row>
    <row r="12" spans="2:8">
      <c r="B12" s="3" t="s">
        <v>15</v>
      </c>
      <c r="C12" s="3"/>
      <c r="D12" s="3"/>
    </row>
    <row r="13" spans="2:8">
      <c r="B13" s="4" t="s">
        <v>16</v>
      </c>
      <c r="C13" s="4"/>
      <c r="D13" s="5">
        <v>0.11</v>
      </c>
    </row>
    <row r="14" spans="2:8">
      <c r="B14" s="4" t="s">
        <v>17</v>
      </c>
      <c r="C14" s="4"/>
      <c r="D14" s="5">
        <v>0.2</v>
      </c>
    </row>
  </sheetData>
  <mergeCells count="5">
    <mergeCell ref="B2:F3"/>
    <mergeCell ref="B10:D10"/>
    <mergeCell ref="B12:D12"/>
    <mergeCell ref="B13:C13"/>
    <mergeCell ref="B14:C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3025-4939-4E3A-94BF-1F8DB18BEFD2}">
  <dimension ref="B2:H14"/>
  <sheetViews>
    <sheetView showGridLines="0" tabSelected="1" workbookViewId="0">
      <selection activeCell="G26" sqref="G26"/>
    </sheetView>
  </sheetViews>
  <sheetFormatPr defaultRowHeight="15"/>
  <cols>
    <col min="2" max="2" width="14.28515625" customWidth="1"/>
    <col min="3" max="3" width="36.5703125" customWidth="1"/>
    <col min="4" max="4" width="21.140625" customWidth="1"/>
    <col min="5" max="5" width="23.28515625" customWidth="1"/>
    <col min="6" max="6" width="23.7109375" customWidth="1"/>
    <col min="7" max="7" width="18.28515625" customWidth="1"/>
    <col min="8" max="8" width="25.85546875" customWidth="1"/>
  </cols>
  <sheetData>
    <row r="2" spans="2:8">
      <c r="B2" s="14" t="s">
        <v>14</v>
      </c>
      <c r="C2" s="15"/>
      <c r="D2" s="15"/>
      <c r="E2" s="15"/>
      <c r="F2" s="16"/>
      <c r="G2" s="17" t="s">
        <v>5</v>
      </c>
      <c r="H2" s="18" t="s">
        <v>7</v>
      </c>
    </row>
    <row r="3" spans="2:8" ht="15.75">
      <c r="B3" s="15"/>
      <c r="C3" s="15"/>
      <c r="D3" s="15"/>
      <c r="E3" s="15"/>
      <c r="F3" s="16"/>
      <c r="G3" s="19" t="s">
        <v>6</v>
      </c>
      <c r="H3" s="20">
        <v>2026</v>
      </c>
    </row>
    <row r="4" spans="2:8" ht="24.75" customHeight="1">
      <c r="B4" s="21" t="s">
        <v>0</v>
      </c>
      <c r="C4" s="21" t="s">
        <v>1</v>
      </c>
      <c r="D4" s="21" t="s">
        <v>2</v>
      </c>
      <c r="E4" s="21" t="s">
        <v>3</v>
      </c>
      <c r="F4" s="21" t="s">
        <v>4</v>
      </c>
      <c r="G4" s="22" t="s">
        <v>8</v>
      </c>
      <c r="H4" s="22" t="s">
        <v>9</v>
      </c>
    </row>
    <row r="5" spans="2:8">
      <c r="B5" s="6">
        <v>46082</v>
      </c>
      <c r="C5" s="7" t="s">
        <v>10</v>
      </c>
      <c r="D5" s="8">
        <v>16548935203</v>
      </c>
      <c r="E5" s="9">
        <v>1200</v>
      </c>
      <c r="F5" s="10">
        <f>$D$13*E5</f>
        <v>132</v>
      </c>
      <c r="G5" s="10">
        <f>$D$14*E5</f>
        <v>240</v>
      </c>
      <c r="H5" s="10">
        <f>E5-F5</f>
        <v>1068</v>
      </c>
    </row>
    <row r="6" spans="2:8">
      <c r="B6" s="6">
        <v>46086</v>
      </c>
      <c r="C6" s="7" t="s">
        <v>11</v>
      </c>
      <c r="D6" s="8">
        <v>34265812054</v>
      </c>
      <c r="E6" s="9">
        <v>955</v>
      </c>
      <c r="F6" s="10">
        <f t="shared" ref="F6:F9" si="0">$D$13*E6</f>
        <v>105.05</v>
      </c>
      <c r="G6" s="10">
        <f t="shared" ref="G6:G9" si="1">$D$14*E6</f>
        <v>191</v>
      </c>
      <c r="H6" s="10">
        <f t="shared" ref="H6:H9" si="2">E6-F6</f>
        <v>849.95</v>
      </c>
    </row>
    <row r="7" spans="2:8">
      <c r="B7" s="6">
        <v>46091</v>
      </c>
      <c r="C7" s="11" t="s">
        <v>12</v>
      </c>
      <c r="D7" s="8">
        <v>4908415104</v>
      </c>
      <c r="E7" s="9">
        <v>345</v>
      </c>
      <c r="F7" s="10">
        <f t="shared" si="0"/>
        <v>37.950000000000003</v>
      </c>
      <c r="G7" s="10">
        <f t="shared" si="1"/>
        <v>69</v>
      </c>
      <c r="H7" s="10">
        <f t="shared" si="2"/>
        <v>307.05</v>
      </c>
    </row>
    <row r="8" spans="2:8">
      <c r="B8" s="12"/>
      <c r="C8" s="12"/>
      <c r="D8" s="12"/>
      <c r="E8" s="9"/>
      <c r="F8" s="10">
        <f t="shared" si="0"/>
        <v>0</v>
      </c>
      <c r="G8" s="10">
        <f t="shared" si="1"/>
        <v>0</v>
      </c>
      <c r="H8" s="10">
        <f t="shared" si="2"/>
        <v>0</v>
      </c>
    </row>
    <row r="9" spans="2:8">
      <c r="B9" s="12"/>
      <c r="C9" s="12"/>
      <c r="D9" s="12"/>
      <c r="E9" s="9"/>
      <c r="F9" s="10">
        <f t="shared" si="0"/>
        <v>0</v>
      </c>
      <c r="G9" s="10">
        <f t="shared" si="1"/>
        <v>0</v>
      </c>
      <c r="H9" s="10">
        <f t="shared" si="2"/>
        <v>0</v>
      </c>
    </row>
    <row r="10" spans="2:8">
      <c r="B10" s="13" t="s">
        <v>13</v>
      </c>
      <c r="C10" s="13"/>
      <c r="D10" s="13"/>
      <c r="E10" s="10">
        <f>SUM(E5:E9)</f>
        <v>2500</v>
      </c>
      <c r="F10" s="10">
        <f>SUM(F5:F9)</f>
        <v>275</v>
      </c>
      <c r="G10" s="10">
        <f>SUM(G5:G9)</f>
        <v>500</v>
      </c>
      <c r="H10" s="10">
        <f>SUM(H5:H9)</f>
        <v>2225</v>
      </c>
    </row>
    <row r="12" spans="2:8">
      <c r="B12" s="3" t="s">
        <v>15</v>
      </c>
      <c r="C12" s="3"/>
      <c r="D12" s="3"/>
    </row>
    <row r="13" spans="2:8">
      <c r="B13" s="4" t="s">
        <v>16</v>
      </c>
      <c r="C13" s="4"/>
      <c r="D13" s="5">
        <v>0.11</v>
      </c>
    </row>
    <row r="14" spans="2:8">
      <c r="B14" s="4" t="s">
        <v>17</v>
      </c>
      <c r="C14" s="4"/>
      <c r="D14" s="5">
        <v>0.2</v>
      </c>
    </row>
  </sheetData>
  <mergeCells count="5">
    <mergeCell ref="B12:D12"/>
    <mergeCell ref="B10:D10"/>
    <mergeCell ref="B13:C13"/>
    <mergeCell ref="B14:C14"/>
    <mergeCell ref="B2:F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RPA - 2026</vt:lpstr>
      <vt:lpstr>RPA - Abril 2026</vt:lpstr>
      <vt:lpstr>RPA - Março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2026-03-12T19:54:46Z</dcterms:modified>
</cp:coreProperties>
</file>